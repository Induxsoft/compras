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<sst xmlns="http://schemas.openxmlformats.org/spreadsheetml/2006/main" count="140" uniqueCount="91">
  <si>
    <t>Indirectas</t>
  </si>
  <si>
    <t>Opciones</t>
  </si>
  <si>
    <t>Directas</t>
  </si>
  <si>
    <t>Contado</t>
  </si>
  <si>
    <t>Crédito pagado</t>
  </si>
  <si>
    <t>Crédito c/saldo</t>
  </si>
  <si>
    <t>Consignación</t>
  </si>
  <si>
    <t>Crédito</t>
  </si>
  <si>
    <t>Ninguna</t>
  </si>
  <si>
    <t>Combinación</t>
  </si>
  <si>
    <t>Operación</t>
  </si>
  <si>
    <t>Referencia</t>
  </si>
  <si>
    <t>Origen</t>
  </si>
  <si>
    <t>Remisión de contado</t>
  </si>
  <si>
    <t>R1</t>
  </si>
  <si>
    <t>DIRECTO</t>
  </si>
  <si>
    <t>Remisión a crédito</t>
  </si>
  <si>
    <t>R2</t>
  </si>
  <si>
    <t>Factura contado</t>
  </si>
  <si>
    <t>F1</t>
  </si>
  <si>
    <t>Factura crédito</t>
  </si>
  <si>
    <t>F2</t>
  </si>
  <si>
    <t>Facturación parcial de remisión de contado</t>
  </si>
  <si>
    <t>F3</t>
  </si>
  <si>
    <t>R3</t>
  </si>
  <si>
    <t>NA</t>
  </si>
  <si>
    <t>Pago parcial a la remisión</t>
  </si>
  <si>
    <t>P-R2</t>
  </si>
  <si>
    <t>Pago parcial total a la remisión</t>
  </si>
  <si>
    <t>P2-R2</t>
  </si>
  <si>
    <t>Factura parcial a remisión a crédito pagada</t>
  </si>
  <si>
    <t>F4</t>
  </si>
  <si>
    <t>Remisión en consignación</t>
  </si>
  <si>
    <t>R4</t>
  </si>
  <si>
    <t>Factura de contado con venta directa y remisión a crédito pagada</t>
  </si>
  <si>
    <t>F5</t>
  </si>
  <si>
    <t>R5</t>
  </si>
  <si>
    <t>R6</t>
  </si>
  <si>
    <t>R7</t>
  </si>
  <si>
    <t>R8</t>
  </si>
  <si>
    <t>P-R6</t>
  </si>
  <si>
    <t>Pago total a remisión</t>
  </si>
  <si>
    <t>P-R5</t>
  </si>
  <si>
    <t xml:space="preserve">Factura PARCIAL con venta directa A CRÉDITO y remisiones </t>
  </si>
  <si>
    <t>F6</t>
  </si>
  <si>
    <t>R3,R4,R5,R6,R7, R8</t>
  </si>
  <si>
    <t>Pago para saldar todo</t>
  </si>
  <si>
    <t>P-X</t>
  </si>
  <si>
    <t>Facturar 50% de las remisiones y la venta directa al contado</t>
  </si>
  <si>
    <t>F7</t>
  </si>
  <si>
    <t>Facturar 50% de las remisiones y la venta directa a crédito</t>
  </si>
  <si>
    <t>F8</t>
  </si>
  <si>
    <t>PUNTO DE CONTROL 1</t>
  </si>
  <si>
    <t>Cancelar las primeras 4 facturas</t>
  </si>
  <si>
    <t>Cancelar las últimas 4 facturas de la más reciente a la más antigua</t>
  </si>
  <si>
    <t>Cancelar todas las remisiones por los extremos (más antigua y más reciente)</t>
  </si>
  <si>
    <t>PUNTO DE CONTROL 2</t>
  </si>
  <si>
    <t>Cotización</t>
  </si>
  <si>
    <t>C1</t>
  </si>
  <si>
    <t>C2</t>
  </si>
  <si>
    <t>Pedido</t>
  </si>
  <si>
    <t>P1</t>
  </si>
  <si>
    <t>C3</t>
  </si>
  <si>
    <t>P2</t>
  </si>
  <si>
    <t>50% de C1</t>
  </si>
  <si>
    <t>P3</t>
  </si>
  <si>
    <t>100% C2 y 50% C3</t>
  </si>
  <si>
    <t>P4</t>
  </si>
  <si>
    <t>P1 y P3</t>
  </si>
  <si>
    <t>Remisión</t>
  </si>
  <si>
    <t>R9</t>
  </si>
  <si>
    <t>50% C1</t>
  </si>
  <si>
    <t>R10</t>
  </si>
  <si>
    <t>PUNTO DE CONTROL 3</t>
  </si>
  <si>
    <t xml:space="preserve">Cancelación de cotización </t>
  </si>
  <si>
    <t>50% C3, R10 y P2</t>
  </si>
  <si>
    <t>Factura</t>
  </si>
  <si>
    <t>F9</t>
  </si>
  <si>
    <t xml:space="preserve">Factura </t>
  </si>
  <si>
    <t>F10</t>
  </si>
  <si>
    <t>PUNTO DE CONTROL 4</t>
  </si>
  <si>
    <t>Cancelar F9</t>
  </si>
  <si>
    <t>Cancelar F10</t>
  </si>
  <si>
    <t>Cancelar R10</t>
  </si>
  <si>
    <t>Cancelar R9</t>
  </si>
  <si>
    <t>Cancelar todos los pedidos</t>
  </si>
  <si>
    <t>Cancelar todas las cotizaciones</t>
  </si>
  <si>
    <t>Por todo el importe de F11</t>
  </si>
  <si>
    <t>F11</t>
  </si>
  <si>
    <t>Nota de crédito</t>
  </si>
  <si>
    <t>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</si>
</sst>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2" numFmtId="0" xfId="0" applyFont="1"/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3" fontId="1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5" fontId="1" numFmtId="0" xfId="0" applyAlignment="1" applyFill="1" applyFont="1">
      <alignment vertical="bottom"/>
    </xf>
    <xf borderId="0" fillId="6" fontId="2" numFmtId="0" xfId="0" applyAlignment="1" applyFill="1" applyFont="1">
      <alignment horizontal="right" vertical="bottom"/>
    </xf>
    <xf borderId="0" fillId="7" fontId="1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6" fontId="1" numFmtId="0" xfId="0" applyAlignment="1" applyFont="1">
      <alignment horizontal="center" vertical="bottom"/>
    </xf>
    <xf borderId="0" fillId="6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1"/>
      <c r="C6" s="1"/>
      <c r="D6" s="2" t="s">
        <v>0</v>
      </c>
      <c r="H6" s="3" t="s">
        <v>1</v>
      </c>
      <c r="K6" s="1"/>
    </row>
    <row r="7">
      <c r="B7" s="1"/>
      <c r="C7" s="4" t="s">
        <v>2</v>
      </c>
      <c r="D7" s="5" t="s">
        <v>3</v>
      </c>
      <c r="E7" s="5" t="s">
        <v>4</v>
      </c>
      <c r="F7" s="6" t="s">
        <v>5</v>
      </c>
      <c r="G7" s="5" t="s">
        <v>6</v>
      </c>
      <c r="H7" s="7" t="s">
        <v>3</v>
      </c>
      <c r="I7" s="7" t="s">
        <v>7</v>
      </c>
      <c r="J7" s="7" t="s">
        <v>8</v>
      </c>
      <c r="K7" s="1"/>
    </row>
    <row r="8">
      <c r="B8" s="8">
        <v>1.0</v>
      </c>
      <c r="C8" s="9">
        <v>1.0</v>
      </c>
      <c r="D8" s="1"/>
      <c r="E8" s="1"/>
      <c r="F8" s="10"/>
      <c r="G8" s="1"/>
      <c r="H8" s="11">
        <f>IF(F8&gt;0,0,1)</f>
        <v>1</v>
      </c>
      <c r="I8" s="11">
        <f>IF(J8&lt;1,1)</f>
        <v>1</v>
      </c>
      <c r="J8" s="1"/>
      <c r="K8" s="12"/>
    </row>
    <row r="9">
      <c r="B9" s="8">
        <v>2.0</v>
      </c>
      <c r="C9" s="1"/>
      <c r="D9" s="9">
        <v>1.0</v>
      </c>
      <c r="E9" s="1"/>
      <c r="F9" s="10"/>
      <c r="G9" s="1"/>
      <c r="H9" s="13">
        <v>0.0</v>
      </c>
      <c r="I9" s="13">
        <v>0.0</v>
      </c>
      <c r="J9" s="13">
        <v>1.0</v>
      </c>
      <c r="K9" s="12"/>
    </row>
    <row r="10">
      <c r="B10" s="8">
        <v>3.0</v>
      </c>
      <c r="C10" s="1"/>
      <c r="D10" s="1"/>
      <c r="E10" s="9">
        <v>1.0</v>
      </c>
      <c r="F10" s="10"/>
      <c r="G10" s="1"/>
      <c r="H10" s="13">
        <v>0.0</v>
      </c>
      <c r="I10" s="13">
        <v>0.0</v>
      </c>
      <c r="J10" s="13">
        <v>1.0</v>
      </c>
      <c r="K10" s="1"/>
    </row>
    <row r="11">
      <c r="B11" s="8">
        <v>4.0</v>
      </c>
      <c r="C11" s="1"/>
      <c r="D11" s="1"/>
      <c r="E11" s="1"/>
      <c r="F11" s="9">
        <v>1.0</v>
      </c>
      <c r="G11" s="1"/>
      <c r="H11" s="11">
        <f t="shared" ref="H11:H19" si="1">IF(F11&gt;0,0,1)</f>
        <v>0</v>
      </c>
      <c r="I11" s="11">
        <f t="shared" ref="I11:I19" si="2">IF(J11&lt;1,1)</f>
        <v>1</v>
      </c>
      <c r="J11" s="1"/>
      <c r="K11" s="1"/>
    </row>
    <row r="12">
      <c r="B12" s="8">
        <v>5.0</v>
      </c>
      <c r="C12" s="9">
        <v>1.0</v>
      </c>
      <c r="D12" s="9">
        <v>1.0</v>
      </c>
      <c r="E12" s="1"/>
      <c r="F12" s="10"/>
      <c r="G12" s="9">
        <v>1.0</v>
      </c>
      <c r="H12" s="11">
        <f t="shared" si="1"/>
        <v>1</v>
      </c>
      <c r="I12" s="11">
        <f t="shared" si="2"/>
        <v>1</v>
      </c>
      <c r="J12" s="1"/>
      <c r="K12" s="1"/>
    </row>
    <row r="13">
      <c r="B13" s="8">
        <v>6.0</v>
      </c>
      <c r="C13" s="9">
        <v>1.0</v>
      </c>
      <c r="D13" s="9">
        <v>1.0</v>
      </c>
      <c r="E13" s="9">
        <v>1.0</v>
      </c>
      <c r="F13" s="10"/>
      <c r="G13" s="1"/>
      <c r="H13" s="11">
        <f t="shared" si="1"/>
        <v>1</v>
      </c>
      <c r="I13" s="11">
        <f t="shared" si="2"/>
        <v>1</v>
      </c>
      <c r="J13" s="1"/>
      <c r="K13" s="1"/>
    </row>
    <row r="14">
      <c r="B14" s="8">
        <v>7.0</v>
      </c>
      <c r="C14" s="9">
        <v>1.0</v>
      </c>
      <c r="D14" s="9">
        <v>1.0</v>
      </c>
      <c r="E14" s="9">
        <v>1.0</v>
      </c>
      <c r="F14" s="9">
        <v>1.0</v>
      </c>
      <c r="G14" s="1"/>
      <c r="H14" s="11">
        <f t="shared" si="1"/>
        <v>0</v>
      </c>
      <c r="I14" s="11">
        <f t="shared" si="2"/>
        <v>1</v>
      </c>
      <c r="J14" s="1"/>
      <c r="K14" s="1"/>
    </row>
    <row r="15">
      <c r="B15" s="8">
        <v>8.0</v>
      </c>
      <c r="C15" s="9">
        <v>1.0</v>
      </c>
      <c r="D15" s="9">
        <v>1.0</v>
      </c>
      <c r="E15" s="9">
        <v>1.0</v>
      </c>
      <c r="F15" s="9">
        <v>1.0</v>
      </c>
      <c r="G15" s="9">
        <v>1.0</v>
      </c>
      <c r="H15" s="11">
        <f t="shared" si="1"/>
        <v>0</v>
      </c>
      <c r="I15" s="11">
        <f t="shared" si="2"/>
        <v>1</v>
      </c>
      <c r="J15" s="1"/>
      <c r="K15" s="14"/>
    </row>
    <row r="16">
      <c r="B16" s="8">
        <v>9.0</v>
      </c>
      <c r="C16" s="9">
        <v>1.0</v>
      </c>
      <c r="D16" s="1"/>
      <c r="E16" s="1"/>
      <c r="F16" s="10"/>
      <c r="G16" s="9">
        <v>1.0</v>
      </c>
      <c r="H16" s="11">
        <f t="shared" si="1"/>
        <v>1</v>
      </c>
      <c r="I16" s="11">
        <f t="shared" si="2"/>
        <v>1</v>
      </c>
      <c r="J16" s="1"/>
      <c r="K16" s="1"/>
    </row>
    <row r="17">
      <c r="B17" s="8">
        <v>10.0</v>
      </c>
      <c r="C17" s="9">
        <v>1.0</v>
      </c>
      <c r="D17" s="1"/>
      <c r="E17" s="1"/>
      <c r="F17" s="9">
        <v>1.0</v>
      </c>
      <c r="G17" s="1"/>
      <c r="H17" s="11">
        <f t="shared" si="1"/>
        <v>0</v>
      </c>
      <c r="I17" s="11">
        <f t="shared" si="2"/>
        <v>1</v>
      </c>
      <c r="J17" s="1"/>
      <c r="K17" s="1"/>
    </row>
    <row r="18">
      <c r="B18" s="8">
        <v>11.0</v>
      </c>
      <c r="C18" s="9">
        <v>1.0</v>
      </c>
      <c r="D18" s="1"/>
      <c r="E18" s="9">
        <v>1.0</v>
      </c>
      <c r="F18" s="10"/>
      <c r="G18" s="1"/>
      <c r="H18" s="11">
        <f t="shared" si="1"/>
        <v>1</v>
      </c>
      <c r="I18" s="11">
        <f t="shared" si="2"/>
        <v>1</v>
      </c>
      <c r="J18" s="1"/>
      <c r="K18" s="14"/>
    </row>
    <row r="19">
      <c r="B19" s="8">
        <v>12.0</v>
      </c>
      <c r="C19" s="9">
        <v>1.0</v>
      </c>
      <c r="D19" s="1"/>
      <c r="E19" s="1"/>
      <c r="F19" s="9">
        <v>1.0</v>
      </c>
      <c r="G19" s="9">
        <v>1.0</v>
      </c>
      <c r="H19" s="11">
        <f t="shared" si="1"/>
        <v>0</v>
      </c>
      <c r="I19" s="11">
        <f t="shared" si="2"/>
        <v>1</v>
      </c>
      <c r="J19" s="1"/>
      <c r="K19" s="1"/>
    </row>
    <row r="20">
      <c r="B20" s="8">
        <v>13.0</v>
      </c>
      <c r="C20" s="1"/>
      <c r="D20" s="9">
        <v>1.0</v>
      </c>
      <c r="E20" s="9">
        <v>1.0</v>
      </c>
      <c r="F20" s="10"/>
      <c r="G20" s="1"/>
      <c r="H20" s="13">
        <v>0.0</v>
      </c>
      <c r="I20" s="13">
        <v>0.0</v>
      </c>
      <c r="J20" s="13">
        <v>1.0</v>
      </c>
      <c r="K20" s="1"/>
    </row>
    <row r="21">
      <c r="B21" s="8">
        <v>14.0</v>
      </c>
      <c r="C21" s="9">
        <v>1.0</v>
      </c>
      <c r="D21" s="9">
        <v>1.0</v>
      </c>
      <c r="E21" s="1"/>
      <c r="F21" s="9">
        <v>1.0</v>
      </c>
      <c r="G21" s="1"/>
      <c r="H21" s="11">
        <f t="shared" ref="H21:H39" si="3">IF(F21&gt;0,0,1)</f>
        <v>0</v>
      </c>
      <c r="I21" s="11">
        <f t="shared" ref="I21:I39" si="4">IF(J21&lt;1,1)</f>
        <v>1</v>
      </c>
      <c r="J21" s="1"/>
      <c r="K21" s="1"/>
    </row>
    <row r="22">
      <c r="B22" s="8">
        <v>15.0</v>
      </c>
      <c r="C22" s="1"/>
      <c r="D22" s="9">
        <v>1.0</v>
      </c>
      <c r="E22" s="9">
        <v>1.0</v>
      </c>
      <c r="F22" s="9">
        <v>1.0</v>
      </c>
      <c r="G22" s="9">
        <v>1.0</v>
      </c>
      <c r="H22" s="11">
        <f t="shared" si="3"/>
        <v>0</v>
      </c>
      <c r="I22" s="11">
        <f t="shared" si="4"/>
        <v>1</v>
      </c>
      <c r="J22" s="1"/>
      <c r="K22" s="1"/>
    </row>
    <row r="23">
      <c r="B23" s="8">
        <v>16.0</v>
      </c>
      <c r="C23" s="1"/>
      <c r="D23" s="9">
        <v>1.0</v>
      </c>
      <c r="E23" s="1"/>
      <c r="F23" s="10"/>
      <c r="G23" s="9">
        <v>1.0</v>
      </c>
      <c r="H23" s="11">
        <f t="shared" si="3"/>
        <v>1</v>
      </c>
      <c r="I23" s="11">
        <f t="shared" si="4"/>
        <v>1</v>
      </c>
      <c r="J23" s="1"/>
      <c r="K23" s="1"/>
    </row>
    <row r="24">
      <c r="B24" s="8">
        <v>17.0</v>
      </c>
      <c r="C24" s="1"/>
      <c r="D24" s="9">
        <v>1.0</v>
      </c>
      <c r="E24" s="1"/>
      <c r="F24" s="9">
        <v>1.0</v>
      </c>
      <c r="G24" s="9">
        <v>1.0</v>
      </c>
      <c r="H24" s="11">
        <f t="shared" si="3"/>
        <v>0</v>
      </c>
      <c r="I24" s="11">
        <f t="shared" si="4"/>
        <v>1</v>
      </c>
      <c r="J24" s="1"/>
      <c r="K24" s="1"/>
    </row>
    <row r="25">
      <c r="B25" s="8">
        <v>18.0</v>
      </c>
      <c r="C25" s="1"/>
      <c r="D25" s="1"/>
      <c r="E25" s="9">
        <v>1.0</v>
      </c>
      <c r="F25" s="9">
        <v>1.0</v>
      </c>
      <c r="G25" s="1"/>
      <c r="H25" s="11">
        <f t="shared" si="3"/>
        <v>0</v>
      </c>
      <c r="I25" s="11">
        <f t="shared" si="4"/>
        <v>1</v>
      </c>
      <c r="J25" s="1"/>
      <c r="K25" s="1"/>
    </row>
    <row r="26">
      <c r="B26" s="8">
        <v>19.0</v>
      </c>
      <c r="C26" s="1"/>
      <c r="D26" s="1"/>
      <c r="E26" s="9">
        <v>1.0</v>
      </c>
      <c r="F26" s="9">
        <v>1.0</v>
      </c>
      <c r="G26" s="9">
        <v>1.0</v>
      </c>
      <c r="H26" s="11">
        <f t="shared" si="3"/>
        <v>0</v>
      </c>
      <c r="I26" s="11">
        <f t="shared" si="4"/>
        <v>1</v>
      </c>
      <c r="J26" s="1"/>
      <c r="K26" s="1"/>
    </row>
    <row r="27">
      <c r="B27" s="8">
        <v>20.0</v>
      </c>
      <c r="C27" s="1"/>
      <c r="D27" s="1"/>
      <c r="E27" s="9">
        <v>1.0</v>
      </c>
      <c r="F27" s="10"/>
      <c r="G27" s="9">
        <v>1.0</v>
      </c>
      <c r="H27" s="11">
        <f t="shared" si="3"/>
        <v>1</v>
      </c>
      <c r="I27" s="11">
        <f t="shared" si="4"/>
        <v>1</v>
      </c>
      <c r="J27" s="1"/>
      <c r="K27" s="1"/>
    </row>
    <row r="28">
      <c r="B28" s="8">
        <v>21.0</v>
      </c>
      <c r="C28" s="1"/>
      <c r="D28" s="9">
        <v>1.0</v>
      </c>
      <c r="E28" s="9">
        <v>1.0</v>
      </c>
      <c r="F28" s="10"/>
      <c r="G28" s="9">
        <v>1.0</v>
      </c>
      <c r="H28" s="11">
        <f t="shared" si="3"/>
        <v>1</v>
      </c>
      <c r="I28" s="11">
        <f t="shared" si="4"/>
        <v>1</v>
      </c>
      <c r="J28" s="1"/>
      <c r="K28" s="1"/>
    </row>
    <row r="29">
      <c r="B29" s="8">
        <v>22.0</v>
      </c>
      <c r="C29" s="1"/>
      <c r="D29" s="9">
        <v>1.0</v>
      </c>
      <c r="E29" s="9">
        <v>1.0</v>
      </c>
      <c r="F29" s="9">
        <v>1.0</v>
      </c>
      <c r="G29" s="1"/>
      <c r="H29" s="11">
        <f t="shared" si="3"/>
        <v>0</v>
      </c>
      <c r="I29" s="11">
        <f t="shared" si="4"/>
        <v>1</v>
      </c>
      <c r="J29" s="1"/>
      <c r="K29" s="1"/>
    </row>
    <row r="30">
      <c r="B30" s="8">
        <v>23.0</v>
      </c>
      <c r="C30" s="1"/>
      <c r="D30" s="1"/>
      <c r="E30" s="1"/>
      <c r="F30" s="9">
        <v>1.0</v>
      </c>
      <c r="G30" s="9">
        <v>1.0</v>
      </c>
      <c r="H30" s="11">
        <f t="shared" si="3"/>
        <v>0</v>
      </c>
      <c r="I30" s="11">
        <f t="shared" si="4"/>
        <v>1</v>
      </c>
      <c r="J30" s="1"/>
      <c r="K30" s="1"/>
    </row>
    <row r="31">
      <c r="B31" s="8">
        <v>24.0</v>
      </c>
      <c r="C31" s="9">
        <v>1.0</v>
      </c>
      <c r="D31" s="1"/>
      <c r="E31" s="9">
        <v>1.0</v>
      </c>
      <c r="F31" s="10"/>
      <c r="G31" s="9">
        <v>1.0</v>
      </c>
      <c r="H31" s="11">
        <f t="shared" si="3"/>
        <v>1</v>
      </c>
      <c r="I31" s="11">
        <f t="shared" si="4"/>
        <v>1</v>
      </c>
      <c r="J31" s="1"/>
      <c r="K31" s="1"/>
    </row>
    <row r="32">
      <c r="B32" s="8">
        <v>25.0</v>
      </c>
      <c r="C32" s="9">
        <v>1.0</v>
      </c>
      <c r="D32" s="1"/>
      <c r="E32" s="9">
        <v>1.0</v>
      </c>
      <c r="F32" s="9">
        <v>1.0</v>
      </c>
      <c r="G32" s="1"/>
      <c r="H32" s="11">
        <f t="shared" si="3"/>
        <v>0</v>
      </c>
      <c r="I32" s="11">
        <f t="shared" si="4"/>
        <v>1</v>
      </c>
      <c r="J32" s="1"/>
      <c r="K32" s="1"/>
    </row>
    <row r="33">
      <c r="B33" s="8">
        <v>26.0</v>
      </c>
      <c r="C33" s="9">
        <v>1.0</v>
      </c>
      <c r="D33" s="9">
        <v>1.0</v>
      </c>
      <c r="E33" s="9">
        <v>1.0</v>
      </c>
      <c r="F33" s="10"/>
      <c r="G33" s="9">
        <v>1.0</v>
      </c>
      <c r="H33" s="11">
        <f t="shared" si="3"/>
        <v>1</v>
      </c>
      <c r="I33" s="11">
        <f t="shared" si="4"/>
        <v>1</v>
      </c>
      <c r="J33" s="1"/>
      <c r="K33" s="14"/>
    </row>
    <row r="34">
      <c r="B34" s="8">
        <v>27.0</v>
      </c>
      <c r="C34" s="9">
        <v>1.0</v>
      </c>
      <c r="D34" s="9">
        <v>1.0</v>
      </c>
      <c r="E34" s="1"/>
      <c r="F34" s="9">
        <v>1.0</v>
      </c>
      <c r="G34" s="9">
        <v>1.0</v>
      </c>
      <c r="H34" s="11">
        <f t="shared" si="3"/>
        <v>0</v>
      </c>
      <c r="I34" s="11">
        <f t="shared" si="4"/>
        <v>1</v>
      </c>
      <c r="J34" s="1"/>
      <c r="K34" s="1"/>
    </row>
    <row r="35">
      <c r="B35" s="8">
        <v>28.0</v>
      </c>
      <c r="C35" s="1"/>
      <c r="D35" s="9">
        <v>1.0</v>
      </c>
      <c r="E35" s="1"/>
      <c r="F35" s="9">
        <v>1.0</v>
      </c>
      <c r="G35" s="1"/>
      <c r="H35" s="11">
        <f t="shared" si="3"/>
        <v>0</v>
      </c>
      <c r="I35" s="11">
        <f t="shared" si="4"/>
        <v>1</v>
      </c>
      <c r="J35" s="1"/>
      <c r="K35" s="1"/>
    </row>
    <row r="36">
      <c r="B36" s="8">
        <v>29.0</v>
      </c>
      <c r="C36" s="9">
        <v>1.0</v>
      </c>
      <c r="D36" s="1"/>
      <c r="E36" s="9">
        <v>1.0</v>
      </c>
      <c r="F36" s="9">
        <v>1.0</v>
      </c>
      <c r="G36" s="9">
        <v>1.0</v>
      </c>
      <c r="H36" s="11">
        <f t="shared" si="3"/>
        <v>0</v>
      </c>
      <c r="I36" s="11">
        <f t="shared" si="4"/>
        <v>1</v>
      </c>
      <c r="J36" s="1"/>
      <c r="K36" s="1"/>
    </row>
    <row r="37">
      <c r="B37" s="8">
        <v>30.0</v>
      </c>
      <c r="C37" s="9">
        <v>1.0</v>
      </c>
      <c r="D37" s="9">
        <v>1.0</v>
      </c>
      <c r="E37" s="1"/>
      <c r="F37" s="10"/>
      <c r="G37" s="1"/>
      <c r="H37" s="11">
        <f t="shared" si="3"/>
        <v>1</v>
      </c>
      <c r="I37" s="11">
        <f t="shared" si="4"/>
        <v>1</v>
      </c>
      <c r="J37" s="1"/>
      <c r="K37" s="1"/>
    </row>
    <row r="38">
      <c r="B38" s="8">
        <v>31.0</v>
      </c>
      <c r="C38" s="1"/>
      <c r="D38" s="1"/>
      <c r="E38" s="1"/>
      <c r="F38" s="10"/>
      <c r="G38" s="9">
        <v>1.0</v>
      </c>
      <c r="H38" s="11">
        <f t="shared" si="3"/>
        <v>1</v>
      </c>
      <c r="I38" s="11">
        <f t="shared" si="4"/>
        <v>1</v>
      </c>
      <c r="J38" s="1"/>
      <c r="K38" s="14"/>
    </row>
    <row r="39">
      <c r="B39" s="8">
        <v>32.0</v>
      </c>
      <c r="C39" s="15">
        <v>0.0</v>
      </c>
      <c r="D39" s="15">
        <v>0.0</v>
      </c>
      <c r="E39" s="15">
        <v>0.0</v>
      </c>
      <c r="F39" s="16">
        <v>0.0</v>
      </c>
      <c r="G39" s="15">
        <v>0.0</v>
      </c>
      <c r="H39" s="11">
        <f t="shared" si="3"/>
        <v>1</v>
      </c>
      <c r="I39" s="11">
        <f t="shared" si="4"/>
        <v>1</v>
      </c>
      <c r="J39" s="1"/>
      <c r="K39" s="1"/>
    </row>
  </sheetData>
  <mergeCells count="2">
    <mergeCell ref="D6:G6"/>
    <mergeCell ref="H6:J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13"/>
  </cols>
  <sheetData>
    <row r="1">
      <c r="A1" s="17" t="s">
        <v>9</v>
      </c>
      <c r="B1" s="1" t="s">
        <v>10</v>
      </c>
      <c r="C1" s="1" t="s">
        <v>11</v>
      </c>
      <c r="D1" s="1" t="s">
        <v>12</v>
      </c>
    </row>
    <row r="2">
      <c r="A2" s="17">
        <v>1.0</v>
      </c>
      <c r="B2" s="1" t="s">
        <v>13</v>
      </c>
      <c r="C2" s="1" t="s">
        <v>14</v>
      </c>
      <c r="D2" s="1" t="s">
        <v>15</v>
      </c>
    </row>
    <row r="3">
      <c r="A3" s="17">
        <v>1.0</v>
      </c>
      <c r="B3" s="1" t="s">
        <v>16</v>
      </c>
      <c r="C3" s="1" t="s">
        <v>17</v>
      </c>
      <c r="D3" s="1" t="s">
        <v>15</v>
      </c>
    </row>
    <row r="4">
      <c r="A4" s="17">
        <v>1.0</v>
      </c>
      <c r="B4" s="1" t="s">
        <v>18</v>
      </c>
      <c r="C4" s="1" t="s">
        <v>19</v>
      </c>
      <c r="D4" s="1" t="s">
        <v>15</v>
      </c>
    </row>
    <row r="5">
      <c r="A5" s="17">
        <v>1.0</v>
      </c>
      <c r="B5" s="1" t="s">
        <v>20</v>
      </c>
      <c r="C5" s="1" t="s">
        <v>21</v>
      </c>
      <c r="D5" s="1" t="s">
        <v>15</v>
      </c>
    </row>
    <row r="6">
      <c r="A6" s="17">
        <v>2.0</v>
      </c>
      <c r="B6" s="1" t="s">
        <v>22</v>
      </c>
      <c r="C6" s="1" t="s">
        <v>23</v>
      </c>
      <c r="D6" s="1" t="s">
        <v>14</v>
      </c>
    </row>
    <row r="7">
      <c r="A7" s="17">
        <v>1.0</v>
      </c>
      <c r="B7" s="1" t="s">
        <v>16</v>
      </c>
      <c r="C7" s="1" t="s">
        <v>24</v>
      </c>
      <c r="D7" s="1" t="s">
        <v>15</v>
      </c>
    </row>
    <row r="8">
      <c r="A8" s="18" t="s">
        <v>25</v>
      </c>
      <c r="B8" s="19" t="s">
        <v>26</v>
      </c>
      <c r="C8" s="19" t="s">
        <v>27</v>
      </c>
      <c r="D8" s="19" t="s">
        <v>17</v>
      </c>
    </row>
    <row r="9">
      <c r="A9" s="18" t="s">
        <v>25</v>
      </c>
      <c r="B9" s="19" t="s">
        <v>28</v>
      </c>
      <c r="C9" s="19" t="s">
        <v>29</v>
      </c>
      <c r="D9" s="19" t="s">
        <v>17</v>
      </c>
    </row>
    <row r="10">
      <c r="A10" s="17">
        <v>3.0</v>
      </c>
      <c r="B10" s="1" t="s">
        <v>30</v>
      </c>
      <c r="C10" s="1" t="s">
        <v>31</v>
      </c>
      <c r="D10" s="1" t="s">
        <v>17</v>
      </c>
    </row>
    <row r="11">
      <c r="A11" s="17">
        <v>31.0</v>
      </c>
      <c r="B11" s="1" t="s">
        <v>32</v>
      </c>
      <c r="C11" s="1" t="s">
        <v>33</v>
      </c>
      <c r="D11" s="1" t="s">
        <v>15</v>
      </c>
    </row>
    <row r="12">
      <c r="A12" s="17">
        <v>11.0</v>
      </c>
      <c r="B12" s="1" t="s">
        <v>34</v>
      </c>
      <c r="C12" s="1" t="s">
        <v>35</v>
      </c>
      <c r="D12" s="1" t="s">
        <v>17</v>
      </c>
    </row>
    <row r="13">
      <c r="A13" s="17">
        <v>1.0</v>
      </c>
      <c r="B13" s="1" t="s">
        <v>16</v>
      </c>
      <c r="C13" s="1" t="s">
        <v>36</v>
      </c>
      <c r="D13" s="1" t="s">
        <v>15</v>
      </c>
    </row>
    <row r="14">
      <c r="A14" s="17">
        <v>1.0</v>
      </c>
      <c r="B14" s="1" t="s">
        <v>16</v>
      </c>
      <c r="C14" s="1" t="s">
        <v>37</v>
      </c>
      <c r="D14" s="1" t="s">
        <v>15</v>
      </c>
    </row>
    <row r="15">
      <c r="A15" s="17">
        <v>1.0</v>
      </c>
      <c r="B15" s="1" t="s">
        <v>16</v>
      </c>
      <c r="C15" s="1" t="s">
        <v>38</v>
      </c>
      <c r="D15" s="1" t="s">
        <v>15</v>
      </c>
    </row>
    <row r="16">
      <c r="A16" s="17">
        <v>1.0</v>
      </c>
      <c r="B16" s="1" t="s">
        <v>13</v>
      </c>
      <c r="C16" s="1" t="s">
        <v>39</v>
      </c>
      <c r="D16" s="1" t="s">
        <v>15</v>
      </c>
    </row>
    <row r="17">
      <c r="A17" s="18" t="s">
        <v>25</v>
      </c>
      <c r="B17" s="19" t="s">
        <v>26</v>
      </c>
      <c r="C17" s="19" t="s">
        <v>40</v>
      </c>
      <c r="D17" s="19"/>
    </row>
    <row r="18">
      <c r="A18" s="18" t="s">
        <v>25</v>
      </c>
      <c r="B18" s="19" t="s">
        <v>41</v>
      </c>
      <c r="C18" s="19" t="s">
        <v>42</v>
      </c>
      <c r="D18" s="19"/>
    </row>
    <row r="19">
      <c r="A19" s="17">
        <v>8.0</v>
      </c>
      <c r="B19" s="1" t="s">
        <v>43</v>
      </c>
      <c r="C19" s="1" t="s">
        <v>44</v>
      </c>
      <c r="D19" s="1" t="s">
        <v>45</v>
      </c>
    </row>
    <row r="20">
      <c r="A20" s="18" t="s">
        <v>25</v>
      </c>
      <c r="B20" s="19" t="s">
        <v>46</v>
      </c>
      <c r="C20" s="19" t="s">
        <v>47</v>
      </c>
      <c r="D20" s="19"/>
    </row>
    <row r="21">
      <c r="A21" s="17">
        <v>26.0</v>
      </c>
      <c r="B21" s="1" t="s">
        <v>48</v>
      </c>
      <c r="C21" s="1" t="s">
        <v>49</v>
      </c>
      <c r="D21" s="1"/>
    </row>
    <row r="22">
      <c r="A22" s="17">
        <v>26.0</v>
      </c>
      <c r="B22" s="1" t="s">
        <v>50</v>
      </c>
      <c r="C22" s="1" t="s">
        <v>51</v>
      </c>
      <c r="D22" s="1"/>
    </row>
    <row r="23">
      <c r="A23" s="1"/>
      <c r="B23" s="1" t="s">
        <v>52</v>
      </c>
      <c r="C23" s="1"/>
      <c r="D23" s="1"/>
    </row>
    <row r="24">
      <c r="A24" s="17" t="s">
        <v>25</v>
      </c>
      <c r="B24" s="1" t="s">
        <v>53</v>
      </c>
      <c r="C24" s="1"/>
      <c r="D24" s="1"/>
    </row>
    <row r="25">
      <c r="A25" s="17" t="s">
        <v>25</v>
      </c>
      <c r="B25" s="1" t="s">
        <v>54</v>
      </c>
      <c r="C25" s="1"/>
      <c r="D25" s="1"/>
    </row>
    <row r="26">
      <c r="A26" s="17" t="s">
        <v>25</v>
      </c>
      <c r="B26" s="1" t="s">
        <v>55</v>
      </c>
      <c r="C26" s="1"/>
      <c r="D26" s="1" t="s">
        <v>15</v>
      </c>
    </row>
    <row r="27">
      <c r="A27" s="1"/>
      <c r="B27" s="1" t="s">
        <v>56</v>
      </c>
      <c r="C27" s="1"/>
      <c r="D27" s="1"/>
    </row>
    <row r="28">
      <c r="A28" s="1"/>
      <c r="B28" s="1" t="s">
        <v>57</v>
      </c>
      <c r="C28" s="1" t="s">
        <v>58</v>
      </c>
      <c r="D28" s="1" t="s">
        <v>15</v>
      </c>
    </row>
    <row r="29">
      <c r="A29" s="1"/>
      <c r="B29" s="1" t="s">
        <v>57</v>
      </c>
      <c r="C29" s="1" t="s">
        <v>59</v>
      </c>
      <c r="D29" s="1" t="s">
        <v>15</v>
      </c>
    </row>
    <row r="30">
      <c r="A30" s="1"/>
      <c r="B30" s="1" t="s">
        <v>60</v>
      </c>
      <c r="C30" s="1" t="s">
        <v>61</v>
      </c>
      <c r="D30" s="1" t="s">
        <v>15</v>
      </c>
    </row>
    <row r="31">
      <c r="A31" s="1"/>
      <c r="B31" s="1" t="s">
        <v>57</v>
      </c>
      <c r="C31" s="1" t="s">
        <v>62</v>
      </c>
      <c r="D31" s="1" t="s">
        <v>15</v>
      </c>
    </row>
    <row r="32">
      <c r="A32" s="1"/>
      <c r="B32" s="1" t="s">
        <v>60</v>
      </c>
      <c r="C32" s="1" t="s">
        <v>63</v>
      </c>
      <c r="D32" s="1" t="s">
        <v>64</v>
      </c>
    </row>
    <row r="33">
      <c r="A33" s="1"/>
      <c r="B33" s="1" t="s">
        <v>60</v>
      </c>
      <c r="C33" s="1" t="s">
        <v>65</v>
      </c>
      <c r="D33" s="1" t="s">
        <v>66</v>
      </c>
    </row>
    <row r="34">
      <c r="A34" s="1"/>
      <c r="B34" s="1" t="s">
        <v>60</v>
      </c>
      <c r="C34" s="1" t="s">
        <v>67</v>
      </c>
      <c r="D34" s="1" t="s">
        <v>68</v>
      </c>
    </row>
    <row r="35">
      <c r="A35" s="1"/>
      <c r="B35" s="1" t="s">
        <v>69</v>
      </c>
      <c r="C35" s="1" t="s">
        <v>70</v>
      </c>
      <c r="D35" s="1" t="s">
        <v>71</v>
      </c>
    </row>
    <row r="36">
      <c r="A36" s="1"/>
      <c r="B36" s="1" t="s">
        <v>69</v>
      </c>
      <c r="C36" s="1" t="s">
        <v>72</v>
      </c>
      <c r="D36" s="1" t="s">
        <v>59</v>
      </c>
    </row>
    <row r="37">
      <c r="A37" s="1"/>
      <c r="B37" s="1" t="s">
        <v>73</v>
      </c>
      <c r="C37" s="1"/>
      <c r="D37" s="1"/>
    </row>
    <row r="38">
      <c r="A38" s="1"/>
      <c r="B38" s="1" t="s">
        <v>74</v>
      </c>
      <c r="C38" s="1" t="s">
        <v>25</v>
      </c>
      <c r="D38" s="1" t="s">
        <v>75</v>
      </c>
    </row>
    <row r="39">
      <c r="A39" s="1"/>
      <c r="B39" s="1" t="s">
        <v>76</v>
      </c>
      <c r="C39" s="1" t="s">
        <v>77</v>
      </c>
      <c r="D39" s="1" t="s">
        <v>70</v>
      </c>
    </row>
    <row r="40">
      <c r="A40" s="1"/>
      <c r="B40" s="1" t="s">
        <v>78</v>
      </c>
      <c r="C40" s="1" t="s">
        <v>79</v>
      </c>
      <c r="D40" s="1"/>
    </row>
    <row r="41">
      <c r="A41" s="1"/>
      <c r="B41" s="1" t="s">
        <v>80</v>
      </c>
      <c r="C41" s="1"/>
      <c r="D41" s="1"/>
    </row>
    <row r="42">
      <c r="A42" s="1"/>
      <c r="B42" s="1" t="s">
        <v>81</v>
      </c>
      <c r="C42" s="1" t="s">
        <v>25</v>
      </c>
      <c r="D42" s="1"/>
    </row>
    <row r="43">
      <c r="A43" s="1"/>
      <c r="B43" s="1" t="s">
        <v>82</v>
      </c>
      <c r="C43" s="1" t="s">
        <v>25</v>
      </c>
      <c r="D43" s="1"/>
    </row>
    <row r="44">
      <c r="A44" s="1"/>
      <c r="B44" s="1" t="s">
        <v>83</v>
      </c>
      <c r="C44" s="1" t="s">
        <v>25</v>
      </c>
      <c r="D44" s="1"/>
    </row>
    <row r="45">
      <c r="A45" s="1"/>
      <c r="B45" s="1" t="s">
        <v>84</v>
      </c>
      <c r="C45" s="1" t="s">
        <v>25</v>
      </c>
      <c r="D45" s="1"/>
    </row>
    <row r="46">
      <c r="A46" s="1"/>
      <c r="B46" s="1" t="s">
        <v>85</v>
      </c>
      <c r="C46" s="1" t="s">
        <v>25</v>
      </c>
      <c r="D46" s="1"/>
    </row>
    <row r="47">
      <c r="A47" s="1"/>
      <c r="B47" s="1" t="s">
        <v>86</v>
      </c>
      <c r="C47" s="1" t="s">
        <v>25</v>
      </c>
      <c r="D47" s="1" t="s">
        <v>87</v>
      </c>
    </row>
    <row r="48">
      <c r="A48" s="1"/>
      <c r="B48" s="1" t="s">
        <v>76</v>
      </c>
      <c r="C48" s="1" t="s">
        <v>88</v>
      </c>
      <c r="D48" s="1"/>
    </row>
    <row r="49">
      <c r="A49" s="1"/>
      <c r="B49" s="1" t="s">
        <v>89</v>
      </c>
      <c r="C49" s="1" t="s">
        <v>90</v>
      </c>
      <c r="D49" s="1"/>
    </row>
  </sheetData>
  <drawing r:id="rId1"/>
</worksheet>
</file>